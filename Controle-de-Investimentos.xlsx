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bznascimento\Desktop\"/>
    </mc:Choice>
  </mc:AlternateContent>
  <xr:revisionPtr revIDLastSave="0" documentId="13_ncr:1_{05BC3650-C656-4FB5-9C7F-00968BA2BCE8}" xr6:coauthVersionLast="47" xr6:coauthVersionMax="47" xr10:uidLastSave="{00000000-0000-0000-0000-000000000000}"/>
  <bookViews>
    <workbookView xWindow="28680" yWindow="780" windowWidth="29040" windowHeight="15720" xr2:uid="{00000000-000D-0000-FFFF-FFFF00000000}"/>
  </bookViews>
  <sheets>
    <sheet name="Investimento" sheetId="1" r:id="rId1"/>
    <sheet name="Perfis" sheetId="2" r:id="rId2"/>
  </sheets>
  <definedNames>
    <definedName name="aporte">Investimento!$D$16</definedName>
    <definedName name="dividendos">Investimento!$D$20</definedName>
    <definedName name="patrimonio">Investimento!$D$19</definedName>
    <definedName name="qtd_anos">Investimento!$D$17</definedName>
    <definedName name="rendimento_carteira">Investimento!$D$12</definedName>
    <definedName name="salario">Investimento!$D$11</definedName>
    <definedName name="sugestao_investimento">Investimento!$D$13</definedName>
    <definedName name="taxa_mensal">Investimento!$D$18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0" i="2" l="1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H3" i="2" s="1"/>
  <c r="A5" i="2"/>
  <c r="A4" i="2"/>
  <c r="A3" i="2"/>
  <c r="G2" i="2"/>
  <c r="C33" i="1"/>
  <c r="C27" i="1"/>
  <c r="D27" i="1" s="1"/>
  <c r="C26" i="1"/>
  <c r="D26" i="1" s="1"/>
  <c r="C25" i="1"/>
  <c r="D25" i="1" s="1"/>
  <c r="C24" i="1"/>
  <c r="D24" i="1" s="1"/>
  <c r="C23" i="1"/>
  <c r="D23" i="1" s="1"/>
  <c r="D19" i="1"/>
  <c r="D20" i="1" s="1"/>
  <c r="D13" i="1"/>
  <c r="C37" i="1" l="1"/>
  <c r="D37" i="1" s="1"/>
  <c r="C41" i="1"/>
  <c r="D41" i="1" s="1"/>
  <c r="C38" i="1"/>
  <c r="D38" i="1" s="1"/>
  <c r="C39" i="1"/>
  <c r="D39" i="1" s="1"/>
  <c r="C36" i="1"/>
  <c r="C40" i="1"/>
  <c r="D40" i="1" s="1"/>
  <c r="D36" i="1" l="1"/>
  <c r="D42" i="1" s="1"/>
  <c r="C42" i="1"/>
</calcChain>
</file>

<file path=xl/sharedStrings.xml><?xml version="1.0" encoding="utf-8"?>
<sst xmlns="http://schemas.openxmlformats.org/spreadsheetml/2006/main" count="75" uniqueCount="38">
  <si>
    <t>BASE DE CÁLCULO</t>
  </si>
  <si>
    <t>Salário</t>
  </si>
  <si>
    <t>Sugestão de Investimento (30%)</t>
  </si>
  <si>
    <t>INVESTIMENTO MENSAL</t>
  </si>
  <si>
    <t>Quanto investir por mês ?</t>
  </si>
  <si>
    <t>Por Quantos Anos ?</t>
  </si>
  <si>
    <t>Patrimônio acumulado ?</t>
  </si>
  <si>
    <t>Dividendos Mensais ?</t>
  </si>
  <si>
    <t>PROJEÇÃO</t>
  </si>
  <si>
    <t>Dividendo</t>
  </si>
  <si>
    <t>Quanto em 2 Anos ?</t>
  </si>
  <si>
    <t>Quanto em 5 Anos ?</t>
  </si>
  <si>
    <t>Quanto em 10 Anos ?</t>
  </si>
  <si>
    <t>Quanto em 20 Anos ?</t>
  </si>
  <si>
    <t>Quanto em 30 Anos ?</t>
  </si>
  <si>
    <t>PERFIL</t>
  </si>
  <si>
    <t>VALOR A SER INVESTIDO POR MÊS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</si>
  <si>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</si>
  <si>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</si>
  <si>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</si>
  <si>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</si>
  <si>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</si>
  <si>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</si>
  <si>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</si>
  <si>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</si>
  <si>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</si>
  <si>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CHAVE</t>
  </si>
  <si>
    <t>%</t>
  </si>
  <si>
    <t>Conservador</t>
  </si>
  <si>
    <t>Moderado-TIJOLO</t>
  </si>
  <si>
    <t>Moderado</t>
  </si>
  <si>
    <t>Agressivo</t>
  </si>
  <si>
    <t>Taxa mensal de dividendos</t>
  </si>
  <si>
    <t>Taxa mensal de acumulação</t>
  </si>
  <si>
    <t>TOTAL</t>
  </si>
  <si>
    <t>Preencha as células brancas. As células cinzas são calculadas.</t>
  </si>
  <si>
    <t>D18: taxa usada para acumular patrimônio. D12: taxa dos dividendos mensais.</t>
  </si>
  <si>
    <t>Premissas de simulação: taxas constantes e aportes ao fim de cada mês.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</si>
</sst>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Segoe UI"/>
      <family val="2"/>
    </font>
    <font>
      <sz val="11"/>
      <color theme="1"/>
      <name val="Segoe UI"/>
      <family val="2"/>
    </font>
    <font>
      <b/>
      <sz val="20"/>
      <color theme="0"/>
      <name val="Segoe UI Semibold"/>
      <family val="2"/>
    </font>
    <font>
      <b/>
      <sz val="11"/>
      <color theme="1"/>
      <name val="Segoe UI"/>
      <family val="2"/>
    </font>
    <font>
      <b/>
      <sz val="12"/>
      <color theme="0"/>
      <name val="Segoe UI Semibold"/>
      <family val="2"/>
    </font>
    <font>
      <sz val="14"/>
      <color theme="0"/>
      <name val="Segoe UI"/>
      <family val="2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4.9989318521683403E-2"/>
        <bgColor indexed="65"/>
      </patternFill>
    </fill>
    <fill>
      <patternFill patternType="solid">
        <fgColor rgb="FF476955"/>
      </patternFill>
    </fill>
    <fill>
      <patternFill patternType="solid">
        <fgColor theme="0"/>
      </patternFill>
    </fill>
    <fill>
      <patternFill patternType="solid">
        <fgColor rgb="FFC3EBD9"/>
      </patternFill>
    </fill>
    <fill>
      <patternFill patternType="solid">
        <fgColor theme="2" tint="-0.49995422223578601"/>
        <bgColor indexed="65"/>
      </patternFill>
    </fill>
    <fill>
      <patternFill patternType="solid">
        <fgColor theme="2" tint="-0.249977111117893"/>
        <bgColor indexed="65"/>
      </patternFill>
    </fill>
    <fill>
      <patternFill patternType="solid">
        <fgColor rgb="FFE7E6E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medium">
        <color indexed="64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indexed="64"/>
      </right>
      <top/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 style="hair">
        <color theme="0" tint="-0.14996795556505021"/>
      </top>
      <bottom style="medium">
        <color indexed="64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medium">
        <color indexed="64"/>
      </bottom>
      <diagonal/>
    </border>
    <border>
      <left style="hair">
        <color theme="0" tint="-0.14996795556505021"/>
      </left>
      <right style="medium">
        <color indexed="64"/>
      </right>
      <top style="hair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1">
    <xf numFmtId="0" fontId="0" fillId="0" borderId="0" xfId="0"/>
    <xf numFmtId="0" fontId="4" fillId="5" borderId="13" xfId="0" applyFont="1" applyFill="1" applyBorder="1" applyAlignment="1">
      <alignment horizontal="left"/>
    </xf>
    <xf numFmtId="0" fontId="4" fillId="5" borderId="16" xfId="0" applyFont="1" applyFill="1" applyBorder="1" applyAlignment="1">
      <alignment horizontal="left"/>
    </xf>
    <xf numFmtId="0" fontId="4" fillId="5" borderId="17" xfId="0" applyFont="1" applyFill="1" applyBorder="1" applyAlignment="1">
      <alignment horizontal="left"/>
    </xf>
    <xf numFmtId="0" fontId="8" fillId="3" borderId="23" xfId="0" applyFont="1" applyFill="1" applyBorder="1" applyAlignment="1">
      <alignment horizontal="center" vertical="center"/>
    </xf>
    <xf numFmtId="0" fontId="3" fillId="0" borderId="0" xfId="0" applyFont="1"/>
    <xf numFmtId="0" fontId="0" fillId="0" borderId="25" xfId="0" applyBorder="1"/>
    <xf numFmtId="0" fontId="5" fillId="0" borderId="25" xfId="0" applyFont="1" applyBorder="1"/>
    <xf numFmtId="0" fontId="5" fillId="0" borderId="0" xfId="0" applyFont="1"/>
    <xf numFmtId="0" fontId="5" fillId="0" borderId="0" xfId="0" applyFont="1" applyAlignment="1">
      <alignment horizontal="center"/>
    </xf>
    <xf numFmtId="9" fontId="5" fillId="0" borderId="26" xfId="0" applyNumberFormat="1" applyFont="1" applyBorder="1" applyAlignment="1">
      <alignment horizontal="center"/>
    </xf>
    <xf numFmtId="0" fontId="5" fillId="0" borderId="27" xfId="0" applyFont="1" applyBorder="1"/>
    <xf numFmtId="0" fontId="5" fillId="0" borderId="24" xfId="0" applyFont="1" applyBorder="1"/>
    <xf numFmtId="0" fontId="5" fillId="0" borderId="24" xfId="0" applyFont="1" applyBorder="1" applyAlignment="1">
      <alignment horizontal="center"/>
    </xf>
    <xf numFmtId="9" fontId="5" fillId="0" borderId="28" xfId="0" applyNumberFormat="1" applyFont="1" applyBorder="1" applyAlignment="1">
      <alignment horizontal="center"/>
    </xf>
    <xf numFmtId="0" fontId="2" fillId="7" borderId="3" xfId="0" applyFont="1" applyFill="1" applyBorder="1"/>
    <xf numFmtId="0" fontId="0" fillId="0" borderId="26" xfId="0" applyBorder="1"/>
    <xf numFmtId="0" fontId="2" fillId="7" borderId="25" xfId="0" applyFont="1" applyFill="1" applyBorder="1" applyAlignment="1">
      <alignment horizontal="center"/>
    </xf>
    <xf numFmtId="0" fontId="2" fillId="7" borderId="0" xfId="0" applyFont="1" applyFill="1" applyAlignment="1">
      <alignment horizontal="center"/>
    </xf>
    <xf numFmtId="0" fontId="2" fillId="7" borderId="26" xfId="0" applyFont="1" applyFill="1" applyBorder="1" applyAlignment="1">
      <alignment horizontal="center"/>
    </xf>
    <xf numFmtId="0" fontId="0" fillId="0" borderId="25" xfId="0" applyBorder="1" applyAlignment="1">
      <alignment horizontal="center"/>
    </xf>
    <xf numFmtId="0" fontId="2" fillId="7" borderId="27" xfId="0" applyFont="1" applyFill="1" applyBorder="1"/>
    <xf numFmtId="0" fontId="2" fillId="2" borderId="21" xfId="0" applyFont="1" applyFill="1" applyBorder="1"/>
    <xf numFmtId="0" fontId="2" fillId="2" borderId="23" xfId="0" applyFont="1" applyFill="1" applyBorder="1"/>
    <xf numFmtId="0" fontId="2" fillId="7" borderId="1" xfId="0" applyFont="1" applyFill="1" applyBorder="1" applyAlignment="1">
      <alignment horizontal="left"/>
    </xf>
    <xf numFmtId="0" fontId="9" fillId="6" borderId="21" xfId="0" applyFont="1" applyFill="1" applyBorder="1"/>
    <xf numFmtId="0" fontId="9" fillId="6" borderId="22" xfId="0" applyFont="1" applyFill="1" applyBorder="1"/>
    <xf numFmtId="0" fontId="9" fillId="6" borderId="22" xfId="0" applyFont="1" applyFill="1" applyBorder="1" applyAlignment="1">
      <alignment horizontal="center"/>
    </xf>
    <xf numFmtId="0" fontId="9" fillId="6" borderId="23" xfId="0" applyFont="1" applyFill="1" applyBorder="1" applyAlignment="1">
      <alignment horizontal="center"/>
    </xf>
    <xf numFmtId="0" fontId="5" fillId="0" borderId="21" xfId="0" applyFont="1" applyBorder="1" applyAlignment="1">
      <alignment horizontal="center"/>
    </xf>
    <xf numFmtId="9" fontId="5" fillId="4" borderId="20" xfId="2" applyFont="1" applyFill="1" applyBorder="1" applyAlignment="1">
      <alignment horizontal="center"/>
    </xf>
    <xf numFmtId="0" fontId="10" fillId="0" borderId="3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/>
    </xf>
    <xf numFmtId="164" fontId="5" fillId="8" borderId="12" xfId="0" applyNumberFormat="1" applyFont="1" applyFill="1" applyBorder="1" applyAlignment="1">
      <alignment horizontal="center"/>
    </xf>
    <xf numFmtId="8" fontId="7" fillId="8" borderId="9" xfId="0" applyNumberFormat="1" applyFont="1" applyFill="1" applyBorder="1" applyAlignment="1">
      <alignment horizontal="center"/>
    </xf>
    <xf numFmtId="8" fontId="7" fillId="8" borderId="12" xfId="0" applyNumberFormat="1" applyFont="1" applyFill="1" applyBorder="1" applyAlignment="1">
      <alignment horizontal="center"/>
    </xf>
    <xf numFmtId="164" fontId="5" fillId="8" borderId="14" xfId="0" applyNumberFormat="1" applyFont="1" applyFill="1" applyBorder="1" applyAlignment="1">
      <alignment horizontal="center"/>
    </xf>
    <xf numFmtId="164" fontId="5" fillId="8" borderId="15" xfId="0" applyNumberFormat="1" applyFont="1" applyFill="1" applyBorder="1" applyAlignment="1">
      <alignment horizontal="center"/>
    </xf>
    <xf numFmtId="164" fontId="5" fillId="8" borderId="18" xfId="0" applyNumberFormat="1" applyFont="1" applyFill="1" applyBorder="1" applyAlignment="1">
      <alignment horizontal="center"/>
    </xf>
    <xf numFmtId="164" fontId="5" fillId="8" borderId="19" xfId="0" applyNumberFormat="1" applyFont="1" applyFill="1" applyBorder="1" applyAlignment="1">
      <alignment horizontal="center"/>
    </xf>
    <xf numFmtId="164" fontId="2" fillId="8" borderId="22" xfId="0" applyNumberFormat="1" applyFont="1" applyFill="1" applyBorder="1" applyAlignment="1">
      <alignment horizontal="center"/>
    </xf>
    <xf numFmtId="9" fontId="0" fillId="8" borderId="0" xfId="0" applyNumberFormat="1" applyFill="1" applyAlignment="1">
      <alignment horizontal="center"/>
    </xf>
    <xf numFmtId="164" fontId="0" fillId="8" borderId="26" xfId="0" applyNumberFormat="1" applyFill="1" applyBorder="1" applyAlignment="1">
      <alignment horizontal="center"/>
    </xf>
    <xf numFmtId="164" fontId="2" fillId="8" borderId="28" xfId="0" applyNumberFormat="1" applyFont="1" applyFill="1" applyBorder="1" applyAlignment="1">
      <alignment horizontal="center"/>
    </xf>
    <xf numFmtId="164" fontId="5" fillId="9" borderId="6" xfId="0" applyNumberFormat="1" applyFont="1" applyFill="1" applyBorder="1" applyAlignment="1">
      <alignment horizontal="center"/>
    </xf>
    <xf numFmtId="10" fontId="5" fillId="9" borderId="9" xfId="0" applyNumberFormat="1" applyFont="1" applyFill="1" applyBorder="1" applyAlignment="1">
      <alignment horizontal="center"/>
    </xf>
    <xf numFmtId="164" fontId="7" fillId="9" borderId="6" xfId="0" applyNumberFormat="1" applyFont="1" applyFill="1" applyBorder="1" applyAlignment="1">
      <alignment horizontal="center"/>
    </xf>
    <xf numFmtId="0" fontId="7" fillId="9" borderId="9" xfId="0" applyFont="1" applyFill="1" applyBorder="1" applyAlignment="1">
      <alignment horizontal="center"/>
    </xf>
    <xf numFmtId="10" fontId="7" fillId="9" borderId="9" xfId="0" applyNumberFormat="1" applyFont="1" applyFill="1" applyBorder="1" applyAlignment="1">
      <alignment horizontal="center"/>
    </xf>
    <xf numFmtId="0" fontId="2" fillId="9" borderId="2" xfId="0" applyFont="1" applyFill="1" applyBorder="1"/>
    <xf numFmtId="0" fontId="11" fillId="0" borderId="0" xfId="0" applyFont="1"/>
    <xf numFmtId="0" fontId="4" fillId="5" borderId="7" xfId="0" applyFont="1" applyFill="1" applyBorder="1" applyAlignment="1">
      <alignment horizontal="left"/>
    </xf>
    <xf numFmtId="0" fontId="4" fillId="5" borderId="8" xfId="0" applyFont="1" applyFill="1" applyBorder="1" applyAlignment="1">
      <alignment horizontal="left"/>
    </xf>
    <xf numFmtId="0" fontId="4" fillId="5" borderId="10" xfId="0" applyFont="1" applyFill="1" applyBorder="1" applyAlignment="1">
      <alignment horizontal="left"/>
    </xf>
    <xf numFmtId="0" fontId="4" fillId="5" borderId="11" xfId="0" applyFont="1" applyFill="1" applyBorder="1" applyAlignment="1">
      <alignment horizontal="left"/>
    </xf>
    <xf numFmtId="0" fontId="6" fillId="3" borderId="21" xfId="0" applyFont="1" applyFill="1" applyBorder="1" applyAlignment="1">
      <alignment horizontal="center" vertical="center"/>
    </xf>
    <xf numFmtId="0" fontId="6" fillId="3" borderId="22" xfId="0" applyFont="1" applyFill="1" applyBorder="1" applyAlignment="1">
      <alignment horizontal="center" vertical="center"/>
    </xf>
    <xf numFmtId="0" fontId="6" fillId="3" borderId="2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left"/>
    </xf>
    <xf numFmtId="0" fontId="4" fillId="5" borderId="5" xfId="0" applyFont="1" applyFill="1" applyBorder="1" applyAlignment="1">
      <alignment horizontal="left"/>
    </xf>
    <xf numFmtId="9" fontId="2" fillId="8" borderId="24" xfId="0" applyNumberFormat="1" applyFont="1" applyFill="1" applyBorder="1" applyAlignment="1">
      <alignment horizontal="center"/>
    </xf>
  </cellXfs>
  <cellStyles count="3">
    <cellStyle name="Moeda" xfId="1" xr:uid="{00000000-0005-0000-0000-000000000000}"/>
    <cellStyle name="Normal" xfId="0" builtinId="0"/>
    <cellStyle name="Porcentagem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Investimento!$C$35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tint val="94000"/>
                      <a:lumMod val="102000"/>
                      <a:satMod val="103000"/>
                    </a:schemeClr>
                  </a:gs>
                  <a:gs pos="50000">
                    <a:schemeClr val="accent1">
                      <a:shade val="100000"/>
                      <a:lumMod val="100000"/>
                      <a:satMod val="110000"/>
                    </a:schemeClr>
                  </a:gs>
                  <a:gs pos="100000">
                    <a:schemeClr val="accent1">
                      <a:shade val="78000"/>
                      <a:lumMod val="99000"/>
                      <a:satMod val="120000"/>
                    </a:schemeClr>
                  </a:gs>
                </a:gsLst>
                <a:lin ang="5400000" scaled="0"/>
              </a:gra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1-0FD8-4104-BADE-05B83666FF31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tint val="94000"/>
                      <a:lumMod val="102000"/>
                      <a:satMod val="103000"/>
                    </a:schemeClr>
                  </a:gs>
                  <a:gs pos="50000">
                    <a:schemeClr val="accent2">
                      <a:shade val="100000"/>
                      <a:lumMod val="100000"/>
                      <a:satMod val="110000"/>
                    </a:schemeClr>
                  </a:gs>
                  <a:gs pos="100000">
                    <a:schemeClr val="accent2">
                      <a:shade val="78000"/>
                      <a:lumMod val="99000"/>
                      <a:satMod val="120000"/>
                    </a:schemeClr>
                  </a:gs>
                </a:gsLst>
                <a:lin ang="5400000" scaled="0"/>
              </a:gra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3-0FD8-4104-BADE-05B83666FF31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tint val="94000"/>
                      <a:lumMod val="102000"/>
                      <a:satMod val="103000"/>
                    </a:schemeClr>
                  </a:gs>
                  <a:gs pos="50000">
                    <a:schemeClr val="accent3">
                      <a:shade val="100000"/>
                      <a:lumMod val="100000"/>
                      <a:satMod val="110000"/>
                    </a:schemeClr>
                  </a:gs>
                  <a:gs pos="100000">
                    <a:schemeClr val="accent3">
                      <a:shade val="78000"/>
                      <a:lumMod val="99000"/>
                      <a:satMod val="120000"/>
                    </a:schemeClr>
                  </a:gs>
                </a:gsLst>
                <a:lin ang="5400000" scaled="0"/>
              </a:gra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5-0FD8-4104-BADE-05B83666FF31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tint val="94000"/>
                      <a:lumMod val="102000"/>
                      <a:satMod val="103000"/>
                    </a:schemeClr>
                  </a:gs>
                  <a:gs pos="50000">
                    <a:schemeClr val="accent4">
                      <a:shade val="100000"/>
                      <a:lumMod val="100000"/>
                      <a:satMod val="110000"/>
                    </a:schemeClr>
                  </a:gs>
                  <a:gs pos="100000">
                    <a:schemeClr val="accent4">
                      <a:shade val="78000"/>
                      <a:lumMod val="99000"/>
                      <a:satMod val="120000"/>
                    </a:schemeClr>
                  </a:gs>
                </a:gsLst>
                <a:lin ang="5400000" scaled="0"/>
              </a:gra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7-0FD8-4104-BADE-05B83666FF31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tint val="94000"/>
                      <a:lumMod val="102000"/>
                      <a:satMod val="103000"/>
                    </a:schemeClr>
                  </a:gs>
                  <a:gs pos="50000">
                    <a:schemeClr val="accent5">
                      <a:shade val="100000"/>
                      <a:lumMod val="100000"/>
                      <a:satMod val="110000"/>
                    </a:schemeClr>
                  </a:gs>
                  <a:gs pos="100000">
                    <a:schemeClr val="accent5">
                      <a:shade val="78000"/>
                      <a:lumMod val="99000"/>
                      <a:satMod val="120000"/>
                    </a:schemeClr>
                  </a:gs>
                </a:gsLst>
                <a:lin ang="5400000" scaled="0"/>
              </a:gra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9-0FD8-4104-BADE-05B83666FF31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tint val="94000"/>
                      <a:lumMod val="102000"/>
                      <a:satMod val="103000"/>
                    </a:schemeClr>
                  </a:gs>
                  <a:gs pos="50000">
                    <a:schemeClr val="accent6">
                      <a:shade val="100000"/>
                      <a:lumMod val="100000"/>
                      <a:satMod val="110000"/>
                    </a:schemeClr>
                  </a:gs>
                  <a:gs pos="100000">
                    <a:schemeClr val="accent6">
                      <a:shade val="78000"/>
                      <a:lumMod val="99000"/>
                      <a:satMod val="120000"/>
                    </a:schemeClr>
                  </a:gs>
                </a:gsLst>
                <a:lin ang="5400000" scaled="0"/>
              </a:gra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B-0FD8-4104-BADE-05B83666FF31}"/>
              </c:ext>
            </c:extLst>
          </c:dPt>
          <c:dLbls>
            <c:spPr>
              <a:noFill/>
              <a:ln>
                <a:noFill/>
              </a:ln>
            </c:spPr>
            <c:txPr>
              <a:bodyPr anchorCtr="1"/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lt"/>
                    <a:cs typeface="+mn-lt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Investimento!$B$36:$B$41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Investimento!$C$36:$C$41</c:f>
              <c:numCache>
                <c:formatCode>0%</c:formatCode>
                <c:ptCount val="6"/>
                <c:pt idx="0">
                  <c:v>0.25</c:v>
                </c:pt>
                <c:pt idx="1">
                  <c:v>0.35</c:v>
                </c:pt>
                <c:pt idx="2">
                  <c:v>0.15</c:v>
                </c:pt>
                <c:pt idx="3">
                  <c:v>0.12</c:v>
                </c:pt>
                <c:pt idx="4">
                  <c:v>0.08</c:v>
                </c:pt>
                <c:pt idx="5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FD8-4104-BADE-05B83666FF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</c:spPr>
    </c:plotArea>
    <c:legend>
      <c:legendPos val="b"/>
      <c:overlay val="0"/>
      <c:spPr>
        <a:noFill/>
        <a:ln>
          <a:noFill/>
        </a:ln>
      </c:spPr>
      <c:txPr>
        <a:bodyPr rot="0" vert="horz" anchor="ctr" anchorCtr="1"/>
        <a:lstStyle/>
        <a:p>
          <a:pPr>
            <a:defRPr sz="900" b="0" i="0" u="none" strike="noStrike" baseline="0">
              <a:solidFill>
                <a:schemeClr val="tx2"/>
              </a:solidFill>
              <a:latin typeface="+mn-lt"/>
              <a:ea typeface="+mn-lt"/>
              <a:cs typeface="+mn-lt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chemeClr val="bg1"/>
    </a:solidFill>
    <a:ln w="9525" cmpd="sng">
      <a:solidFill>
        <a:schemeClr val="tx2">
          <a:lumMod val="15000"/>
          <a:lumOff val="85000"/>
        </a:schemeClr>
      </a:solidFill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242886</xdr:colOff>
      <xdr:row>43</xdr:row>
      <xdr:rowOff>71436</xdr:rowOff>
    </xdr:from>
    <xdr:to>
      <xdr:col>3</xdr:col>
      <xdr:colOff>2295525</xdr:colOff>
      <xdr:row>58</xdr:row>
      <xdr:rowOff>133350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314325</xdr:colOff>
      <xdr:row>0</xdr:row>
      <xdr:rowOff>47625</xdr:rowOff>
    </xdr:from>
    <xdr:to>
      <xdr:col>4</xdr:col>
      <xdr:colOff>9525</xdr:colOff>
      <xdr:row>7</xdr:row>
      <xdr:rowOff>133350</xdr:rowOff>
    </xdr:to>
    <xdr:sp macro="" textlink="">
      <xdr:nvSpPr>
        <xdr:cNvPr id="3" name="Retângulo de cantos arredondados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Grp="1"/>
        </xdr:cNvSpPr>
      </xdr:nvSpPr>
      <xdr:spPr>
        <a:xfrm>
          <a:off x="314325" y="47625"/>
          <a:ext cx="5981700" cy="1419225"/>
        </a:xfrm>
        <a:prstGeom prst="roundRect">
          <a:avLst/>
        </a:prstGeom>
        <a:solidFill>
          <a:srgbClr val="06463E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/>
        <a:lstStyle/>
        <a:p>
          <a:pPr algn="ctr">
            <a:buNone/>
          </a:pPr>
          <a:r>
            <a:rPr sz="6000">
              <a:latin typeface="Showcard Gothic"/>
              <a:ea typeface="Showcard Gothic"/>
              <a:cs typeface="Showcard Gothic"/>
            </a:rPr>
            <a:t>DIO</a:t>
          </a:r>
          <a:r>
            <a:rPr sz="6000" baseline="0">
              <a:latin typeface="Showcard Gothic"/>
              <a:ea typeface="Showcard Gothic"/>
              <a:cs typeface="Showcard Gothic"/>
            </a:rPr>
            <a:t> INVE</a:t>
          </a:r>
          <a:r>
            <a:rPr sz="6000" baseline="0">
              <a:solidFill>
                <a:srgbClr val="EBE600"/>
              </a:solidFill>
              <a:latin typeface="Showcard Gothic"/>
              <a:ea typeface="Showcard Gothic"/>
              <a:cs typeface="Showcard Gothic"/>
            </a:rPr>
            <a:t>$</a:t>
          </a:r>
          <a:r>
            <a:rPr sz="6000" baseline="0">
              <a:latin typeface="Showcard Gothic"/>
              <a:ea typeface="Showcard Gothic"/>
              <a:cs typeface="Showcard Gothic"/>
            </a:rPr>
            <a:t>T </a:t>
          </a:r>
          <a:endParaRPr/>
        </a:p>
      </xdr:txBody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304800</xdr:colOff>
      <xdr:row>9</xdr:row>
      <xdr:rowOff>304800</xdr:rowOff>
    </xdr:to>
    <xdr:sp macro="" textlink="">
      <xdr:nvSpPr>
        <xdr:cNvPr id="4" name="AutoShape 5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Grp="1"/>
        </xdr:cNvSpPr>
      </xdr:nvSpPr>
      <xdr:spPr>
        <a:xfrm>
          <a:off x="6143625" y="172402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304800</xdr:colOff>
      <xdr:row>9</xdr:row>
      <xdr:rowOff>304800</xdr:rowOff>
    </xdr:to>
    <xdr:sp macro="" textlink="">
      <xdr:nvSpPr>
        <xdr:cNvPr id="5" name="AutoShape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Grp="1"/>
        </xdr:cNvSpPr>
      </xdr:nvSpPr>
      <xdr:spPr>
        <a:xfrm>
          <a:off x="6143625" y="172402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304800</xdr:colOff>
      <xdr:row>9</xdr:row>
      <xdr:rowOff>304800</xdr:rowOff>
    </xdr:to>
    <xdr:sp macro="" textlink="">
      <xdr:nvSpPr>
        <xdr:cNvPr id="6" name="AutoShape 7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Grp="1"/>
        </xdr:cNvSpPr>
      </xdr:nvSpPr>
      <xdr:spPr>
        <a:xfrm>
          <a:off x="6143625" y="172402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304800</xdr:colOff>
      <xdr:row>9</xdr:row>
      <xdr:rowOff>304800</xdr:rowOff>
    </xdr:to>
    <xdr:sp macro="" textlink="">
      <xdr:nvSpPr>
        <xdr:cNvPr id="7" name="AutoShape 8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Grp="1"/>
        </xdr:cNvSpPr>
      </xdr:nvSpPr>
      <xdr:spPr>
        <a:xfrm>
          <a:off x="6143625" y="1724025"/>
          <a:ext cx="304800" cy="304800"/>
        </a:xfrm>
        <a:prstGeom prst="rect">
          <a:avLst/>
        </a:prstGeom>
        <a:noFill/>
      </xdr:spPr>
    </xdr:sp>
    <xdr:clientData/>
  </xdr:twoCellAnchor>
  <xdr:oneCellAnchor>
    <xdr:from>
      <xdr:col>3</xdr:col>
      <xdr:colOff>1304925</xdr:colOff>
      <xdr:row>1</xdr:row>
      <xdr:rowOff>57150</xdr:rowOff>
    </xdr:from>
    <xdr:ext cx="790574" cy="937629"/>
    <xdr:sp macro="" textlink="">
      <xdr:nvSpPr>
        <xdr:cNvPr id="8" name="Retângulo 16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Grp="1"/>
        </xdr:cNvSpPr>
      </xdr:nvSpPr>
      <xdr:spPr>
        <a:xfrm flipH="1">
          <a:off x="5153025" y="247650"/>
          <a:ext cx="790574" cy="937629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>
            <a:buNone/>
          </a:pPr>
          <a:endParaRPr/>
        </a:p>
      </xdr:txBody>
    </xdr:sp>
    <xdr:clientData/>
  </xdr:one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0:XFC46"/>
  <sheetViews>
    <sheetView showGridLines="0" tabSelected="1" topLeftCell="A11" workbookViewId="0">
      <selection activeCell="D19" sqref="D19"/>
    </sheetView>
  </sheetViews>
  <sheetFormatPr defaultRowHeight="15" x14ac:dyDescent="0.25"/>
  <cols>
    <col min="1" max="1" width="5.140625" customWidth="1"/>
    <col min="2" max="2" width="32.5703125" customWidth="1"/>
    <col min="3" max="3" width="18" customWidth="1"/>
    <col min="4" max="4" width="38.5703125" customWidth="1"/>
    <col min="5" max="7" width="9.140625" customWidth="1"/>
    <col min="8" max="8" width="4.7109375" customWidth="1"/>
    <col min="9" max="9" width="9.28515625" hidden="1" customWidth="1"/>
    <col min="10" max="10" width="5.5703125" hidden="1" customWidth="1"/>
    <col min="11" max="11" width="1.42578125" hidden="1" customWidth="1"/>
    <col min="12" max="16383" width="9.140625" hidden="1"/>
    <col min="16384" max="16384" width="2.7109375" hidden="1" customWidth="1"/>
  </cols>
  <sheetData>
    <row r="10" spans="2:4" ht="30" customHeight="1" x14ac:dyDescent="0.25">
      <c r="B10" s="55" t="s">
        <v>0</v>
      </c>
      <c r="C10" s="56"/>
      <c r="D10" s="57"/>
    </row>
    <row r="11" spans="2:4" ht="17.25" x14ac:dyDescent="0.3">
      <c r="B11" s="58" t="s">
        <v>1</v>
      </c>
      <c r="C11" s="59"/>
      <c r="D11" s="44">
        <v>7000</v>
      </c>
    </row>
    <row r="12" spans="2:4" ht="17.25" x14ac:dyDescent="0.3">
      <c r="B12" s="51" t="s">
        <v>32</v>
      </c>
      <c r="C12" s="52"/>
      <c r="D12" s="45">
        <v>3.0000000000000001E-3</v>
      </c>
    </row>
    <row r="13" spans="2:4" ht="17.25" x14ac:dyDescent="0.3">
      <c r="B13" s="53" t="s">
        <v>2</v>
      </c>
      <c r="C13" s="54"/>
      <c r="D13" s="33">
        <f>D11*30%</f>
        <v>2100</v>
      </c>
    </row>
    <row r="15" spans="2:4" ht="30" customHeight="1" x14ac:dyDescent="0.25">
      <c r="B15" s="55" t="s">
        <v>3</v>
      </c>
      <c r="C15" s="56"/>
      <c r="D15" s="57"/>
    </row>
    <row r="16" spans="2:4" ht="17.25" x14ac:dyDescent="0.3">
      <c r="B16" s="58" t="s">
        <v>4</v>
      </c>
      <c r="C16" s="59"/>
      <c r="D16" s="46">
        <v>750</v>
      </c>
    </row>
    <row r="17" spans="1:4" ht="17.25" x14ac:dyDescent="0.3">
      <c r="B17" s="51" t="s">
        <v>5</v>
      </c>
      <c r="C17" s="52"/>
      <c r="D17" s="47">
        <v>3</v>
      </c>
    </row>
    <row r="18" spans="1:4" ht="17.25" x14ac:dyDescent="0.3">
      <c r="B18" s="51" t="s">
        <v>33</v>
      </c>
      <c r="C18" s="52"/>
      <c r="D18" s="48">
        <v>1.78E-2</v>
      </c>
    </row>
    <row r="19" spans="1:4" ht="17.25" x14ac:dyDescent="0.3">
      <c r="B19" s="51" t="s">
        <v>6</v>
      </c>
      <c r="C19" s="52"/>
      <c r="D19" s="34">
        <f>FV(taxa_mensal,qtd_anos*12,aporte*-1)</f>
        <v>37387.542493068067</v>
      </c>
    </row>
    <row r="20" spans="1:4" ht="17.25" x14ac:dyDescent="0.3">
      <c r="B20" s="53" t="s">
        <v>7</v>
      </c>
      <c r="C20" s="54"/>
      <c r="D20" s="35">
        <f>patrimonio*rendimento_carteira</f>
        <v>112.1626274792042</v>
      </c>
    </row>
    <row r="22" spans="1:4" ht="30" customHeight="1" x14ac:dyDescent="0.25">
      <c r="B22" s="55" t="s">
        <v>8</v>
      </c>
      <c r="C22" s="56"/>
      <c r="D22" s="4" t="s">
        <v>9</v>
      </c>
    </row>
    <row r="23" spans="1:4" ht="17.25" x14ac:dyDescent="0.3">
      <c r="A23" s="5">
        <v>2</v>
      </c>
      <c r="B23" s="1" t="s">
        <v>10</v>
      </c>
      <c r="C23" s="36">
        <f>FV($D$18,$A23*12,-$D$16)</f>
        <v>22213.898239908453</v>
      </c>
      <c r="D23" s="37">
        <f>C23*rendimento_carteira</f>
        <v>66.641694719725365</v>
      </c>
    </row>
    <row r="24" spans="1:4" ht="17.25" x14ac:dyDescent="0.3">
      <c r="A24" s="5">
        <v>5</v>
      </c>
      <c r="B24" s="2" t="s">
        <v>11</v>
      </c>
      <c r="C24" s="36">
        <f t="shared" ref="C24:C27" si="0">FV($D$18,$A24*12,-$D$16)</f>
        <v>79312.521460958596</v>
      </c>
      <c r="D24" s="37">
        <f>C24*rendimento_carteira</f>
        <v>237.93756438287579</v>
      </c>
    </row>
    <row r="25" spans="1:4" ht="17.25" x14ac:dyDescent="0.3">
      <c r="A25" s="5">
        <v>10</v>
      </c>
      <c r="B25" s="2" t="s">
        <v>12</v>
      </c>
      <c r="C25" s="36">
        <f t="shared" si="0"/>
        <v>307919.00809099904</v>
      </c>
      <c r="D25" s="37">
        <f>C25*rendimento_carteira</f>
        <v>923.75702427299711</v>
      </c>
    </row>
    <row r="26" spans="1:4" ht="17.25" x14ac:dyDescent="0.3">
      <c r="A26" s="5">
        <v>20</v>
      </c>
      <c r="B26" s="2" t="s">
        <v>13</v>
      </c>
      <c r="C26" s="36">
        <f t="shared" si="0"/>
        <v>2866093.0250868727</v>
      </c>
      <c r="D26" s="37">
        <f>C26*rendimento_carteira</f>
        <v>8598.2790752606179</v>
      </c>
    </row>
    <row r="27" spans="1:4" ht="17.25" x14ac:dyDescent="0.3">
      <c r="A27" s="5">
        <v>30</v>
      </c>
      <c r="B27" s="3" t="s">
        <v>14</v>
      </c>
      <c r="C27" s="38">
        <f t="shared" si="0"/>
        <v>24119260.673960265</v>
      </c>
      <c r="D27" s="39">
        <f>C27*rendimento_carteira</f>
        <v>72357.78202188079</v>
      </c>
    </row>
    <row r="32" spans="1:4" x14ac:dyDescent="0.25">
      <c r="B32" s="24" t="s">
        <v>15</v>
      </c>
      <c r="C32" s="49" t="s">
        <v>28</v>
      </c>
      <c r="D32" s="15"/>
    </row>
    <row r="33" spans="2:4" x14ac:dyDescent="0.25">
      <c r="B33" s="22" t="s">
        <v>16</v>
      </c>
      <c r="C33" s="40">
        <f>aporte</f>
        <v>750</v>
      </c>
      <c r="D33" s="23"/>
    </row>
    <row r="34" spans="2:4" x14ac:dyDescent="0.25">
      <c r="B34" s="6"/>
      <c r="D34" s="16"/>
    </row>
    <row r="35" spans="2:4" x14ac:dyDescent="0.25">
      <c r="B35" s="17" t="s">
        <v>17</v>
      </c>
      <c r="C35" s="18" t="s">
        <v>18</v>
      </c>
      <c r="D35" s="19" t="s">
        <v>19</v>
      </c>
    </row>
    <row r="36" spans="2:4" x14ac:dyDescent="0.25">
      <c r="B36" s="20" t="s">
        <v>20</v>
      </c>
      <c r="C36" s="41">
        <f>VLOOKUP($C$32&amp;"-"&amp;B36,Perfis!$A$3:$D$20,4,FALSE)</f>
        <v>0.25</v>
      </c>
      <c r="D36" s="42">
        <f>C36*$C$33</f>
        <v>187.5</v>
      </c>
    </row>
    <row r="37" spans="2:4" x14ac:dyDescent="0.25">
      <c r="B37" s="20" t="s">
        <v>21</v>
      </c>
      <c r="C37" s="41">
        <f>VLOOKUP($C$32&amp;"-"&amp;B37,Perfis!$A$3:$D$20,4,FALSE)</f>
        <v>0.35</v>
      </c>
      <c r="D37" s="42">
        <f>C37*$C$33</f>
        <v>262.5</v>
      </c>
    </row>
    <row r="38" spans="2:4" x14ac:dyDescent="0.25">
      <c r="B38" s="20" t="s">
        <v>22</v>
      </c>
      <c r="C38" s="41">
        <f>VLOOKUP($C$32&amp;"-"&amp;B38,Perfis!$A$3:$D$20,4,FALSE)</f>
        <v>0.15</v>
      </c>
      <c r="D38" s="42">
        <f t="shared" ref="D38:D41" si="1">C38*$C$33</f>
        <v>112.5</v>
      </c>
    </row>
    <row r="39" spans="2:4" x14ac:dyDescent="0.25">
      <c r="B39" s="20" t="s">
        <v>23</v>
      </c>
      <c r="C39" s="41">
        <f>VLOOKUP($C$32&amp;"-"&amp;B39,Perfis!$A$3:$D$20,4,FALSE)</f>
        <v>0.12</v>
      </c>
      <c r="D39" s="42">
        <f t="shared" si="1"/>
        <v>90</v>
      </c>
    </row>
    <row r="40" spans="2:4" x14ac:dyDescent="0.25">
      <c r="B40" s="20" t="s">
        <v>24</v>
      </c>
      <c r="C40" s="41">
        <f>VLOOKUP($C$32&amp;"-"&amp;B40,Perfis!$A$3:$D$20,4,FALSE)</f>
        <v>0.08</v>
      </c>
      <c r="D40" s="42">
        <f t="shared" si="1"/>
        <v>60</v>
      </c>
    </row>
    <row r="41" spans="2:4" x14ac:dyDescent="0.25">
      <c r="B41" s="20" t="s">
        <v>25</v>
      </c>
      <c r="C41" s="41">
        <f>VLOOKUP($C$32&amp;"-"&amp;B41,Perfis!$A$3:$D$20,4,FALSE)</f>
        <v>0.05</v>
      </c>
      <c r="D41" s="42">
        <f t="shared" si="1"/>
        <v>37.5</v>
      </c>
    </row>
    <row r="42" spans="2:4" ht="15.75" thickBot="1" x14ac:dyDescent="0.3">
      <c r="B42" s="21" t="s">
        <v>34</v>
      </c>
      <c r="C42" s="60">
        <f>SUM(C36:C41)</f>
        <v>1</v>
      </c>
      <c r="D42" s="43">
        <f>SUM(D36:D41)</f>
        <v>750</v>
      </c>
    </row>
    <row r="44" spans="2:4" x14ac:dyDescent="0.25">
      <c r="B44" s="50" t="s">
        <v>35</v>
      </c>
      <c r="C44" s="50"/>
      <c r="D44" s="50"/>
    </row>
    <row r="45" spans="2:4" x14ac:dyDescent="0.25">
      <c r="B45" s="50" t="s">
        <v>36</v>
      </c>
      <c r="C45" s="50"/>
      <c r="D45" s="50"/>
    </row>
    <row r="46" spans="2:4" x14ac:dyDescent="0.25">
      <c r="B46" s="50" t="s">
        <v>37</v>
      </c>
      <c r="C46" s="50"/>
      <c r="D46" s="50"/>
    </row>
  </sheetData>
  <mergeCells count="11">
    <mergeCell ref="B18:C18"/>
    <mergeCell ref="B19:C19"/>
    <mergeCell ref="B20:C20"/>
    <mergeCell ref="B22:C22"/>
    <mergeCell ref="B10:D10"/>
    <mergeCell ref="B11:C11"/>
    <mergeCell ref="B12:C12"/>
    <mergeCell ref="B13:C13"/>
    <mergeCell ref="B15:D15"/>
    <mergeCell ref="B16:C16"/>
    <mergeCell ref="B17:C17"/>
  </mergeCells>
  <dataValidations count="1">
    <dataValidation type="list" allowBlank="1" showInputMessage="1" showErrorMessage="1" sqref="C32" xr:uid="{00000000-0002-0000-0000-000000000000}">
      <formula1>"Conservador,Moderado,Agressivo"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H20"/>
  <sheetViews>
    <sheetView showGridLines="0" workbookViewId="0">
      <selection activeCell="A33" sqref="A33"/>
    </sheetView>
  </sheetViews>
  <sheetFormatPr defaultRowHeight="15" x14ac:dyDescent="0.25"/>
  <cols>
    <col min="1" max="1" width="39" customWidth="1"/>
    <col min="2" max="2" width="18.85546875" customWidth="1"/>
    <col min="3" max="3" width="21.42578125" customWidth="1"/>
    <col min="4" max="4" width="12.28515625" customWidth="1"/>
    <col min="7" max="7" width="24.42578125" customWidth="1"/>
    <col min="8" max="8" width="12.85546875" customWidth="1"/>
  </cols>
  <sheetData>
    <row r="2" spans="1:8" ht="20.25" x14ac:dyDescent="0.35">
      <c r="A2" s="25" t="s">
        <v>26</v>
      </c>
      <c r="B2" s="26" t="s">
        <v>15</v>
      </c>
      <c r="C2" s="27" t="s">
        <v>17</v>
      </c>
      <c r="D2" s="28" t="s">
        <v>27</v>
      </c>
      <c r="G2" s="32" t="str">
        <f>A2</f>
        <v>CHAVE</v>
      </c>
      <c r="H2" s="31" t="s">
        <v>27</v>
      </c>
    </row>
    <row r="3" spans="1:8" ht="16.5" x14ac:dyDescent="0.3">
      <c r="A3" s="7" t="str">
        <f>B3&amp;"-"&amp;C3</f>
        <v>Conservador-PAPEL</v>
      </c>
      <c r="B3" s="8" t="s">
        <v>28</v>
      </c>
      <c r="C3" s="9" t="s">
        <v>20</v>
      </c>
      <c r="D3" s="10">
        <v>0.25</v>
      </c>
      <c r="G3" s="29" t="s">
        <v>29</v>
      </c>
      <c r="H3" s="30">
        <f>VLOOKUP(G3,$A$3:$D$20,4,FALSE)</f>
        <v>0.4</v>
      </c>
    </row>
    <row r="4" spans="1:8" ht="16.5" x14ac:dyDescent="0.3">
      <c r="A4" s="7" t="str">
        <f t="shared" ref="A4:A20" si="0">B4&amp;"-"&amp;C4</f>
        <v>Conservador-TIJOLO</v>
      </c>
      <c r="B4" s="8" t="s">
        <v>28</v>
      </c>
      <c r="C4" s="9" t="s">
        <v>21</v>
      </c>
      <c r="D4" s="10">
        <v>0.35</v>
      </c>
    </row>
    <row r="5" spans="1:8" ht="16.5" x14ac:dyDescent="0.3">
      <c r="A5" s="7" t="str">
        <f t="shared" si="0"/>
        <v>Conservador-HÍBRIDOS</v>
      </c>
      <c r="B5" s="8" t="s">
        <v>28</v>
      </c>
      <c r="C5" s="9" t="s">
        <v>22</v>
      </c>
      <c r="D5" s="10">
        <v>0.15</v>
      </c>
    </row>
    <row r="6" spans="1:8" ht="16.5" x14ac:dyDescent="0.3">
      <c r="A6" s="7" t="str">
        <f t="shared" si="0"/>
        <v>Conservador-FOFs</v>
      </c>
      <c r="B6" s="8" t="s">
        <v>28</v>
      </c>
      <c r="C6" s="9" t="s">
        <v>23</v>
      </c>
      <c r="D6" s="10">
        <v>0.12</v>
      </c>
    </row>
    <row r="7" spans="1:8" ht="16.5" x14ac:dyDescent="0.3">
      <c r="A7" s="7" t="str">
        <f t="shared" si="0"/>
        <v>Conservador-DESENVOLVIMENTO</v>
      </c>
      <c r="B7" s="8" t="s">
        <v>28</v>
      </c>
      <c r="C7" s="9" t="s">
        <v>24</v>
      </c>
      <c r="D7" s="10">
        <v>0.08</v>
      </c>
    </row>
    <row r="8" spans="1:8" ht="16.5" x14ac:dyDescent="0.3">
      <c r="A8" s="11" t="str">
        <f t="shared" si="0"/>
        <v>Conservador-HOTELARIAS</v>
      </c>
      <c r="B8" s="12" t="s">
        <v>28</v>
      </c>
      <c r="C8" s="13" t="s">
        <v>25</v>
      </c>
      <c r="D8" s="14">
        <v>0.05</v>
      </c>
    </row>
    <row r="9" spans="1:8" ht="16.5" x14ac:dyDescent="0.3">
      <c r="A9" s="7" t="str">
        <f t="shared" si="0"/>
        <v>Moderado-PAPEL</v>
      </c>
      <c r="B9" s="8" t="s">
        <v>30</v>
      </c>
      <c r="C9" s="9" t="s">
        <v>20</v>
      </c>
      <c r="D9" s="10">
        <v>0.2</v>
      </c>
    </row>
    <row r="10" spans="1:8" ht="16.5" x14ac:dyDescent="0.3">
      <c r="A10" s="7" t="str">
        <f t="shared" si="0"/>
        <v>Moderado-TIJOLO</v>
      </c>
      <c r="B10" s="8" t="s">
        <v>30</v>
      </c>
      <c r="C10" s="9" t="s">
        <v>21</v>
      </c>
      <c r="D10" s="10">
        <v>0.4</v>
      </c>
    </row>
    <row r="11" spans="1:8" ht="16.5" x14ac:dyDescent="0.3">
      <c r="A11" s="7" t="str">
        <f t="shared" si="0"/>
        <v>Moderado-HÍBRIDOS</v>
      </c>
      <c r="B11" s="8" t="s">
        <v>30</v>
      </c>
      <c r="C11" s="9" t="s">
        <v>22</v>
      </c>
      <c r="D11" s="10">
        <v>0.12</v>
      </c>
    </row>
    <row r="12" spans="1:8" ht="16.5" x14ac:dyDescent="0.3">
      <c r="A12" s="7" t="str">
        <f t="shared" si="0"/>
        <v>Moderado-FOFs</v>
      </c>
      <c r="B12" s="8" t="s">
        <v>30</v>
      </c>
      <c r="C12" s="9" t="s">
        <v>23</v>
      </c>
      <c r="D12" s="10">
        <v>0.15</v>
      </c>
    </row>
    <row r="13" spans="1:8" ht="16.5" x14ac:dyDescent="0.3">
      <c r="A13" s="7" t="str">
        <f t="shared" si="0"/>
        <v>Moderado-DESENVOLVIMENTO</v>
      </c>
      <c r="B13" s="8" t="s">
        <v>30</v>
      </c>
      <c r="C13" s="9" t="s">
        <v>24</v>
      </c>
      <c r="D13" s="10">
        <v>0.1</v>
      </c>
    </row>
    <row r="14" spans="1:8" ht="16.5" x14ac:dyDescent="0.3">
      <c r="A14" s="11" t="str">
        <f t="shared" si="0"/>
        <v>Moderado-HOTELARIAS</v>
      </c>
      <c r="B14" s="12" t="s">
        <v>30</v>
      </c>
      <c r="C14" s="13" t="s">
        <v>25</v>
      </c>
      <c r="D14" s="14">
        <v>0.03</v>
      </c>
    </row>
    <row r="15" spans="1:8" ht="16.5" x14ac:dyDescent="0.3">
      <c r="A15" s="7" t="str">
        <f t="shared" si="0"/>
        <v>Agressivo-PAPEL</v>
      </c>
      <c r="B15" s="8" t="s">
        <v>31</v>
      </c>
      <c r="C15" s="9" t="s">
        <v>20</v>
      </c>
      <c r="D15" s="10">
        <v>0.15</v>
      </c>
    </row>
    <row r="16" spans="1:8" ht="16.5" x14ac:dyDescent="0.3">
      <c r="A16" s="7" t="str">
        <f t="shared" si="0"/>
        <v>Agressivo-TIJOLO</v>
      </c>
      <c r="B16" s="8" t="s">
        <v>31</v>
      </c>
      <c r="C16" s="9" t="s">
        <v>21</v>
      </c>
      <c r="D16" s="10">
        <v>0.45</v>
      </c>
    </row>
    <row r="17" spans="1:4" ht="16.5" x14ac:dyDescent="0.3">
      <c r="A17" s="7" t="str">
        <f t="shared" si="0"/>
        <v>Agressivo-HÍBRIDOS</v>
      </c>
      <c r="B17" s="8" t="s">
        <v>31</v>
      </c>
      <c r="C17" s="9" t="s">
        <v>22</v>
      </c>
      <c r="D17" s="10">
        <v>0.12</v>
      </c>
    </row>
    <row r="18" spans="1:4" ht="16.5" x14ac:dyDescent="0.3">
      <c r="A18" s="7" t="str">
        <f t="shared" si="0"/>
        <v>Agressivo-FOFs</v>
      </c>
      <c r="B18" s="8" t="s">
        <v>31</v>
      </c>
      <c r="C18" s="9" t="s">
        <v>23</v>
      </c>
      <c r="D18" s="10">
        <v>0.08</v>
      </c>
    </row>
    <row r="19" spans="1:4" ht="16.5" x14ac:dyDescent="0.3">
      <c r="A19" s="7" t="str">
        <f t="shared" si="0"/>
        <v>Agressivo-DESENVOLVIMENTO</v>
      </c>
      <c r="B19" s="8" t="s">
        <v>31</v>
      </c>
      <c r="C19" s="9" t="s">
        <v>24</v>
      </c>
      <c r="D19" s="10">
        <v>0.11</v>
      </c>
    </row>
    <row r="20" spans="1:4" ht="16.5" x14ac:dyDescent="0.3">
      <c r="A20" s="11" t="str">
        <f t="shared" si="0"/>
        <v>Agressivo-HOTELARIAS</v>
      </c>
      <c r="B20" s="12" t="s">
        <v>31</v>
      </c>
      <c r="C20" s="13" t="s">
        <v>25</v>
      </c>
      <c r="D20" s="14">
        <v>0.09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8</vt:i4>
      </vt:variant>
    </vt:vector>
  </HeadingPairs>
  <TitlesOfParts>
    <vt:vector size="10" baseType="lpstr">
      <vt:lpstr>Investimento</vt:lpstr>
      <vt:lpstr>Perfis</vt:lpstr>
      <vt:lpstr>aporte</vt:lpstr>
      <vt:lpstr>dividendos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Bruna Zanzarini do Nascimento</dc:creator>
  <cp:lastModifiedBy>Coordenadoria de Multas</cp:lastModifiedBy>
  <dcterms:created xsi:type="dcterms:W3CDTF">2026-10-16T12:46:20Z</dcterms:created>
  <dcterms:modified xsi:type="dcterms:W3CDTF">2026-10-16T12:49:51Z</dcterms:modified>
</cp:coreProperties>
</file>